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4"/>
    <sheet state="visible" name="VLOOKUP DATA" sheetId="2" r:id="rId5"/>
  </sheets>
  <definedNames/>
  <calcPr/>
</workbook>
</file>

<file path=xl/sharedStrings.xml><?xml version="1.0" encoding="utf-8"?>
<sst xmlns="http://schemas.openxmlformats.org/spreadsheetml/2006/main" count="96" uniqueCount="39">
  <si>
    <t>Challenge</t>
  </si>
  <si>
    <t>Points Earned</t>
  </si>
  <si>
    <t>Challenge Points</t>
  </si>
  <si>
    <t>Overall Points</t>
  </si>
  <si>
    <t>Hercules's Push</t>
  </si>
  <si>
    <t>Engineering</t>
  </si>
  <si>
    <t>Physics</t>
  </si>
  <si>
    <t>Accuracy</t>
  </si>
  <si>
    <t>Not Attempted</t>
  </si>
  <si>
    <t>How Far?</t>
  </si>
  <si>
    <t>Distance</t>
  </si>
  <si>
    <t>A Rocky Landing</t>
  </si>
  <si>
    <t>A Way Out</t>
  </si>
  <si>
    <t>Navigation</t>
  </si>
  <si>
    <t>Surface Navigation with Lunar Rock</t>
  </si>
  <si>
    <t>Welcome to Seattle</t>
  </si>
  <si>
    <t>Down the Canyon</t>
  </si>
  <si>
    <t>Giving a Gift</t>
  </si>
  <si>
    <t>Placement</t>
  </si>
  <si>
    <t>SUMO</t>
  </si>
  <si>
    <t>Resupply Mission</t>
  </si>
  <si>
    <t>Proficiency Level</t>
  </si>
  <si>
    <t>&lt;2cm</t>
  </si>
  <si>
    <t>&lt;4cm</t>
  </si>
  <si>
    <t>Not Yet</t>
  </si>
  <si>
    <t>&lt;6cm</t>
  </si>
  <si>
    <t>Approaching Proficiency</t>
  </si>
  <si>
    <t>Somewhat Proficient</t>
  </si>
  <si>
    <t>Proficient</t>
  </si>
  <si>
    <t>&lt;15cm</t>
  </si>
  <si>
    <t>Exceeding Proficiency</t>
  </si>
  <si>
    <t>15-30cm</t>
  </si>
  <si>
    <t>30-50cm</t>
  </si>
  <si>
    <t>Completion</t>
  </si>
  <si>
    <t>Bonus 1</t>
  </si>
  <si>
    <t>Bonus 2</t>
  </si>
  <si>
    <t>1st</t>
  </si>
  <si>
    <t>2nd</t>
  </si>
  <si>
    <t>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</si>
</sst>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/>
    </xf>
    <xf borderId="0" fillId="4" fontId="2" numFmtId="0" xfId="0" applyAlignment="1" applyFont="1">
      <alignment horizontal="center" vertical="center"/>
    </xf>
    <xf borderId="0" fillId="5" fontId="2" numFmtId="0" xfId="0" applyFill="1" applyFont="1"/>
    <xf borderId="0" fillId="4" fontId="2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/>
    </xf>
    <xf borderId="0" fillId="6" fontId="2" numFmtId="0" xfId="0" applyAlignment="1" applyFont="1">
      <alignment horizontal="center" vertical="center"/>
    </xf>
    <xf borderId="0" fillId="6" fontId="2" numFmtId="0" xfId="0" applyAlignment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7" fontId="1" numFmtId="0" xfId="0" applyAlignment="1" applyFont="1">
      <alignment horizontal="center" readingOrder="0"/>
    </xf>
    <xf borderId="0" fillId="7" fontId="2" numFmtId="0" xfId="0" applyAlignment="1" applyFont="1">
      <alignment horizontal="center" vertical="center"/>
    </xf>
    <xf borderId="0" fillId="7" fontId="2" numFmtId="0" xfId="0" applyAlignment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readingOrder="0"/>
    </xf>
    <xf borderId="0" fillId="8" fontId="2" numFmtId="0" xfId="0" applyAlignment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0" fillId="0" fontId="2" numFmtId="0" xfId="0" applyFont="1"/>
    <xf borderId="0" fillId="9" fontId="1" numFmtId="0" xfId="0" applyAlignment="1" applyFill="1" applyFont="1">
      <alignment horizontal="center" readingOrder="0" vertical="center"/>
    </xf>
    <xf borderId="0" fillId="9" fontId="3" numFmtId="0" xfId="0" applyAlignment="1" applyFont="1">
      <alignment horizontal="center" vertical="bottom"/>
    </xf>
    <xf borderId="0" fillId="9" fontId="4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bottom"/>
    </xf>
    <xf borderId="0" fillId="9" fontId="2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3" numFmtId="0" xfId="0" applyAlignment="1" applyFont="1">
      <alignment horizontal="center" readingOrder="0" vertical="bottom"/>
    </xf>
    <xf borderId="0" fillId="10" fontId="2" numFmtId="0" xfId="0" applyAlignment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1" fontId="3" numFmtId="0" xfId="0" applyAlignment="1" applyFont="1">
      <alignment horizontal="center" vertical="center"/>
    </xf>
    <xf borderId="0" fillId="11" fontId="4" numFmtId="0" xfId="0" applyAlignment="1" applyFont="1">
      <alignment horizontal="center" vertical="center"/>
    </xf>
    <xf borderId="0" fillId="11" fontId="3" numFmtId="0" xfId="0" applyAlignment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2" fontId="3" numFmtId="0" xfId="0" applyAlignment="1" applyFont="1">
      <alignment horizontal="center" vertical="center"/>
    </xf>
    <xf borderId="0" fillId="12" fontId="4" numFmtId="0" xfId="0" applyAlignment="1" applyFont="1">
      <alignment horizontal="center" vertical="center"/>
    </xf>
    <xf borderId="0" fillId="12" fontId="3" numFmtId="0" xfId="0" applyAlignment="1" applyFon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13" fontId="3" numFmtId="0" xfId="0" applyAlignment="1" applyFont="1">
      <alignment horizontal="center" vertical="center"/>
    </xf>
    <xf borderId="0" fillId="13" fontId="4" numFmtId="0" xfId="0" applyAlignment="1" applyFont="1">
      <alignment horizontal="center" vertical="center"/>
    </xf>
    <xf borderId="0" fillId="13" fontId="3" numFmtId="0" xfId="0" applyAlignment="1" applyFont="1">
      <alignment horizontal="center" readingOrder="0" vertical="center"/>
    </xf>
    <xf borderId="0" fillId="13" fontId="2" numFmtId="0" xfId="0" applyAlignment="1" applyFon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bottom"/>
    </xf>
    <xf borderId="0" fillId="5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4" width="18.88"/>
  </cols>
  <sheetData>
    <row r="1">
      <c r="A1" s="1" t="s">
        <v>0</v>
      </c>
      <c r="B1" s="1" t="s">
        <v>1</v>
      </c>
      <c r="D1" s="1" t="s">
        <v>2</v>
      </c>
      <c r="E1" s="2" t="s">
        <v>3</v>
      </c>
    </row>
    <row r="2">
      <c r="A2" s="3" t="s">
        <v>4</v>
      </c>
      <c r="B2" s="4" t="s">
        <v>5</v>
      </c>
      <c r="C2" s="4" t="s">
        <v>6</v>
      </c>
      <c r="D2" s="5">
        <f>VLOOKUP(B4,'VLOOKUP DATA'!$A$1:$B$20,2,FALSE) + VLOOKUP(C3,'VLOOKUP DATA'!$C$3:$D$8,2,FALSE)</f>
        <v>0</v>
      </c>
      <c r="E2" s="6">
        <f>SUM(D2:D35)</f>
        <v>0</v>
      </c>
    </row>
    <row r="3">
      <c r="B3" s="4" t="s">
        <v>7</v>
      </c>
      <c r="C3" s="7" t="s">
        <v>8</v>
      </c>
    </row>
    <row r="4">
      <c r="B4" s="7" t="s">
        <v>8</v>
      </c>
    </row>
    <row r="5">
      <c r="A5" s="8" t="s">
        <v>9</v>
      </c>
      <c r="B5" s="9" t="s">
        <v>5</v>
      </c>
      <c r="C5" s="9" t="s">
        <v>6</v>
      </c>
      <c r="D5" s="10">
        <f>VLOOKUP(B7,'VLOOKUP DATA'!$A$1:$B$20,2,FALSE) + VLOOKUP(C6,'VLOOKUP DATA'!$C$3:$D$8,2,FALSE)</f>
        <v>0</v>
      </c>
      <c r="E5" s="11"/>
    </row>
    <row r="6">
      <c r="B6" s="9" t="s">
        <v>10</v>
      </c>
      <c r="C6" s="12" t="s">
        <v>8</v>
      </c>
    </row>
    <row r="7">
      <c r="B7" s="12" t="s">
        <v>8</v>
      </c>
    </row>
    <row r="8">
      <c r="A8" s="13" t="s">
        <v>11</v>
      </c>
      <c r="B8" s="14" t="s">
        <v>5</v>
      </c>
      <c r="C8" s="14" t="s">
        <v>6</v>
      </c>
      <c r="D8" s="15">
        <f>VLOOKUP(B10,'VLOOKUP DATA'!$A$1:$B$20,2,FALSE) + VLOOKUP(C9,'VLOOKUP DATA'!$C$3:$D$8,2,FALSE)</f>
        <v>0</v>
      </c>
    </row>
    <row r="9">
      <c r="B9" s="14" t="s">
        <v>7</v>
      </c>
      <c r="C9" s="16" t="s">
        <v>8</v>
      </c>
    </row>
    <row r="10">
      <c r="B10" s="16" t="s">
        <v>8</v>
      </c>
    </row>
    <row r="11">
      <c r="A11" s="17" t="s">
        <v>12</v>
      </c>
      <c r="B11" s="18" t="s">
        <v>5</v>
      </c>
      <c r="C11" s="18" t="s">
        <v>6</v>
      </c>
      <c r="D11" s="19">
        <f>VLOOKUP(B13,'VLOOKUP DATA'!$A$1:$B$20,2,FALSE) + VLOOKUP(B14,'VLOOKUP DATA'!$A$1:$B$20,2,FALSE) + VLOOKUP(B15,'VLOOKUP DATA'!$A$1:$B$20,2,FALSE) +VLOOKUP(C12,'VLOOKUP DATA'!$C$3:$D$8,2,FALSE)</f>
        <v>0</v>
      </c>
    </row>
    <row r="12">
      <c r="B12" s="18" t="s">
        <v>13</v>
      </c>
      <c r="C12" s="20" t="s">
        <v>8</v>
      </c>
    </row>
    <row r="13">
      <c r="B13" s="20" t="s">
        <v>8</v>
      </c>
    </row>
    <row r="14">
      <c r="B14" s="20" t="s">
        <v>8</v>
      </c>
    </row>
    <row r="15">
      <c r="B15" s="20" t="s">
        <v>8</v>
      </c>
    </row>
    <row r="16">
      <c r="A16" s="21" t="s">
        <v>14</v>
      </c>
      <c r="B16" s="22" t="s">
        <v>5</v>
      </c>
      <c r="C16" s="22" t="s">
        <v>6</v>
      </c>
      <c r="D16" s="23">
        <f>VLOOKUP(B18,'VLOOKUP DATA'!$A$1:$B$20,2,FALSE) + VLOOKUP(B19,'VLOOKUP DATA'!$A$1:$B$20,2,FALSE) + VLOOKUP(B20,'VLOOKUP DATA'!$A$1:$B$20,2,FALSE) +VLOOKUP(C17,'VLOOKUP DATA'!$C$3:$D$8,2,FALSE)</f>
        <v>0</v>
      </c>
    </row>
    <row r="17">
      <c r="B17" s="22" t="s">
        <v>13</v>
      </c>
      <c r="C17" s="24" t="s">
        <v>8</v>
      </c>
    </row>
    <row r="18">
      <c r="B18" s="24" t="s">
        <v>8</v>
      </c>
    </row>
    <row r="19">
      <c r="B19" s="24" t="s">
        <v>8</v>
      </c>
      <c r="D19" s="25"/>
    </row>
    <row r="20">
      <c r="B20" s="24" t="s">
        <v>8</v>
      </c>
    </row>
    <row r="21">
      <c r="A21" s="26" t="s">
        <v>15</v>
      </c>
      <c r="B21" s="27" t="s">
        <v>5</v>
      </c>
      <c r="C21" s="27" t="s">
        <v>6</v>
      </c>
      <c r="D21" s="28">
        <f>VLOOKUP(B23,'VLOOKUP DATA'!$A$1:$B$20,2,FALSE) + VLOOKUP(C22,'VLOOKUP DATA'!$C$3:$D$8,2,FALSE)</f>
        <v>0</v>
      </c>
    </row>
    <row r="22">
      <c r="B22" s="29" t="s">
        <v>10</v>
      </c>
      <c r="C22" s="30" t="s">
        <v>8</v>
      </c>
      <c r="D22" s="25"/>
    </row>
    <row r="23">
      <c r="B23" s="30" t="s">
        <v>8</v>
      </c>
    </row>
    <row r="24">
      <c r="A24" s="31" t="s">
        <v>16</v>
      </c>
      <c r="B24" s="32" t="s">
        <v>5</v>
      </c>
      <c r="C24" s="32" t="s">
        <v>6</v>
      </c>
      <c r="D24" s="33">
        <f>VLOOKUP(B26,'VLOOKUP DATA'!$A$1:$B$20,2,FALSE) + VLOOKUP(C25,'VLOOKUP DATA'!$C$3:$D$8,2,FALSE)</f>
        <v>0</v>
      </c>
    </row>
    <row r="25">
      <c r="B25" s="34" t="s">
        <v>10</v>
      </c>
      <c r="C25" s="35" t="s">
        <v>8</v>
      </c>
      <c r="D25" s="25"/>
    </row>
    <row r="26">
      <c r="B26" s="35" t="s">
        <v>8</v>
      </c>
    </row>
    <row r="27">
      <c r="A27" s="36" t="s">
        <v>17</v>
      </c>
      <c r="B27" s="37" t="s">
        <v>5</v>
      </c>
      <c r="C27" s="37" t="s">
        <v>6</v>
      </c>
      <c r="D27" s="38">
        <f>VLOOKUP(B29,'VLOOKUP DATA'!$A$1:$B$20,2,FALSE) + VLOOKUP(C28,'VLOOKUP DATA'!$C$3:$D$8,2,FALSE)</f>
        <v>0</v>
      </c>
    </row>
    <row r="28">
      <c r="B28" s="39" t="s">
        <v>18</v>
      </c>
      <c r="C28" s="40" t="s">
        <v>8</v>
      </c>
      <c r="D28" s="25"/>
    </row>
    <row r="29">
      <c r="B29" s="41" t="s">
        <v>8</v>
      </c>
    </row>
    <row r="30">
      <c r="A30" s="42" t="s">
        <v>19</v>
      </c>
      <c r="B30" s="43" t="s">
        <v>5</v>
      </c>
      <c r="C30" s="43" t="s">
        <v>6</v>
      </c>
      <c r="D30" s="44">
        <f>VLOOKUP(B32,'VLOOKUP DATA'!$A$1:$B$20,2,FALSE) + VLOOKUP(C31,'VLOOKUP DATA'!$C$3:$D$8,2,FALSE)</f>
        <v>0</v>
      </c>
    </row>
    <row r="31">
      <c r="B31" s="45" t="s">
        <v>18</v>
      </c>
      <c r="C31" s="46" t="s">
        <v>8</v>
      </c>
      <c r="D31" s="25"/>
    </row>
    <row r="32">
      <c r="B32" s="47" t="s">
        <v>8</v>
      </c>
    </row>
    <row r="33">
      <c r="A33" s="48" t="s">
        <v>20</v>
      </c>
      <c r="B33" s="49" t="s">
        <v>5</v>
      </c>
      <c r="C33" s="49" t="s">
        <v>6</v>
      </c>
      <c r="D33" s="50">
        <f>VLOOKUP(B35,'VLOOKUP DATA'!$A$1:$B$20,2,FALSE) + VLOOKUP(C34,'VLOOKUP DATA'!$C$3:$D$8,2,FALSE)</f>
        <v>0</v>
      </c>
    </row>
    <row r="34">
      <c r="B34" s="51" t="s">
        <v>18</v>
      </c>
      <c r="C34" s="52" t="s">
        <v>8</v>
      </c>
    </row>
    <row r="35">
      <c r="B35" s="53" t="s">
        <v>8</v>
      </c>
    </row>
  </sheetData>
  <mergeCells count="34">
    <mergeCell ref="E2:F4"/>
    <mergeCell ref="E5:F35"/>
    <mergeCell ref="B1:C1"/>
    <mergeCell ref="E1:F1"/>
    <mergeCell ref="A2:A4"/>
    <mergeCell ref="D2:D4"/>
    <mergeCell ref="C3:C4"/>
    <mergeCell ref="D5:D7"/>
    <mergeCell ref="C6:C7"/>
    <mergeCell ref="D21:D23"/>
    <mergeCell ref="D24:D26"/>
    <mergeCell ref="D27:D29"/>
    <mergeCell ref="D30:D32"/>
    <mergeCell ref="D33:D35"/>
    <mergeCell ref="C25:C26"/>
    <mergeCell ref="C28:C29"/>
    <mergeCell ref="C31:C32"/>
    <mergeCell ref="C34:C35"/>
    <mergeCell ref="D8:D10"/>
    <mergeCell ref="C9:C10"/>
    <mergeCell ref="D11:D15"/>
    <mergeCell ref="C12:C15"/>
    <mergeCell ref="D16:D20"/>
    <mergeCell ref="C17:C20"/>
    <mergeCell ref="C22:C23"/>
    <mergeCell ref="A30:A32"/>
    <mergeCell ref="A33:A35"/>
    <mergeCell ref="A5:A7"/>
    <mergeCell ref="A8:A10"/>
    <mergeCell ref="A11:A15"/>
    <mergeCell ref="A16:A20"/>
    <mergeCell ref="A21:A23"/>
    <mergeCell ref="A24:A26"/>
    <mergeCell ref="A27:A29"/>
  </mergeCells>
  <dataValidations>
    <dataValidation type="list" allowBlank="1" showErrorMessage="1" sqref="C3 C6 C9 C12 C17 C22 C25 C28 C31 C34">
      <formula1>"Not Attempted,Not Yet,Approaching Proficiency,Somewhat Proficient,Proficient,Exceeding Proficiency"</formula1>
    </dataValidation>
    <dataValidation type="list" allowBlank="1" showErrorMessage="1" sqref="B7 B23 B26">
      <formula1>"Not Attempted,&lt;15cm,15-30cm,30-50cm"</formula1>
    </dataValidation>
    <dataValidation type="list" allowBlank="1" showErrorMessage="1" sqref="B4 B10">
      <formula1>"Not Attempted,&lt;2cm,&lt;4cm,&lt;6cm"</formula1>
    </dataValidation>
    <dataValidation type="list" allowBlank="1" showErrorMessage="1" sqref="B29 B32 B35">
      <formula1>"Not Attempted,1st,2nd,3rd"</formula1>
    </dataValidation>
    <dataValidation type="list" allowBlank="1" showErrorMessage="1" sqref="B13:B15 B18:B20">
      <formula1>"Not Attempted,Completion,Bonus 1,Bonus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54" t="s">
        <v>7</v>
      </c>
      <c r="C1" s="54" t="s">
        <v>6</v>
      </c>
    </row>
    <row r="2">
      <c r="A2" s="55" t="s">
        <v>8</v>
      </c>
      <c r="B2" s="56">
        <v>0.0</v>
      </c>
      <c r="C2" s="57" t="s">
        <v>21</v>
      </c>
    </row>
    <row r="3">
      <c r="A3" s="55" t="s">
        <v>22</v>
      </c>
      <c r="B3" s="56">
        <v>20.0</v>
      </c>
      <c r="C3" s="58" t="s">
        <v>8</v>
      </c>
      <c r="D3" s="59">
        <v>0.0</v>
      </c>
    </row>
    <row r="4">
      <c r="A4" s="55" t="s">
        <v>23</v>
      </c>
      <c r="B4" s="56">
        <v>15.0</v>
      </c>
      <c r="C4" s="58" t="s">
        <v>24</v>
      </c>
      <c r="D4" s="59">
        <v>0.0</v>
      </c>
    </row>
    <row r="5">
      <c r="A5" s="55" t="s">
        <v>25</v>
      </c>
      <c r="B5" s="56">
        <v>5.0</v>
      </c>
      <c r="C5" s="58" t="s">
        <v>26</v>
      </c>
      <c r="D5" s="55">
        <v>10.0</v>
      </c>
    </row>
    <row r="6">
      <c r="A6" s="60" t="s">
        <v>10</v>
      </c>
      <c r="C6" s="61" t="s">
        <v>27</v>
      </c>
      <c r="D6" s="56">
        <v>20.0</v>
      </c>
    </row>
    <row r="7">
      <c r="A7" s="62" t="s">
        <v>8</v>
      </c>
      <c r="B7" s="62">
        <v>0.0</v>
      </c>
      <c r="C7" s="61" t="s">
        <v>28</v>
      </c>
      <c r="D7" s="56">
        <v>30.0</v>
      </c>
    </row>
    <row r="8">
      <c r="A8" s="62" t="s">
        <v>29</v>
      </c>
      <c r="B8" s="62">
        <v>5.0</v>
      </c>
      <c r="C8" s="61" t="s">
        <v>30</v>
      </c>
      <c r="D8" s="56">
        <v>40.0</v>
      </c>
    </row>
    <row r="9">
      <c r="A9" s="62" t="s">
        <v>31</v>
      </c>
      <c r="B9" s="62">
        <v>15.0</v>
      </c>
      <c r="C9" s="63"/>
    </row>
    <row r="10">
      <c r="A10" s="62" t="s">
        <v>32</v>
      </c>
      <c r="B10" s="62">
        <v>20.0</v>
      </c>
    </row>
    <row r="11">
      <c r="A11" s="64" t="s">
        <v>13</v>
      </c>
    </row>
    <row r="12">
      <c r="A12" s="62" t="s">
        <v>8</v>
      </c>
      <c r="B12" s="62">
        <v>0.0</v>
      </c>
    </row>
    <row r="13">
      <c r="A13" s="65" t="s">
        <v>33</v>
      </c>
      <c r="B13" s="62">
        <v>30.0</v>
      </c>
    </row>
    <row r="14">
      <c r="A14" s="65" t="s">
        <v>34</v>
      </c>
      <c r="B14" s="62">
        <v>15.0</v>
      </c>
    </row>
    <row r="15">
      <c r="A15" s="65" t="s">
        <v>35</v>
      </c>
      <c r="B15" s="62">
        <v>15.0</v>
      </c>
    </row>
    <row r="16">
      <c r="A16" s="54" t="s">
        <v>18</v>
      </c>
    </row>
    <row r="17">
      <c r="A17" s="55" t="s">
        <v>8</v>
      </c>
      <c r="B17" s="55">
        <v>0.0</v>
      </c>
    </row>
    <row r="18">
      <c r="A18" s="55" t="s">
        <v>36</v>
      </c>
      <c r="B18" s="55">
        <v>60.0</v>
      </c>
    </row>
    <row r="19">
      <c r="A19" s="55" t="s">
        <v>37</v>
      </c>
      <c r="B19" s="55">
        <v>30.0</v>
      </c>
    </row>
    <row r="20">
      <c r="A20" s="55" t="s">
        <v>38</v>
      </c>
      <c r="B20" s="55">
        <v>15.0</v>
      </c>
    </row>
  </sheetData>
  <mergeCells count="7">
    <mergeCell ref="A1:B1"/>
    <mergeCell ref="C1:D1"/>
    <mergeCell ref="C2:D2"/>
    <mergeCell ref="A6:B6"/>
    <mergeCell ref="C9:D20"/>
    <mergeCell ref="A11:B11"/>
    <mergeCell ref="A16:B16"/>
  </mergeCells>
  <drawing r:id="rId1"/>
</worksheet>
</file>